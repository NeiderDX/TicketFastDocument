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18\"/>
    </mc:Choice>
  </mc:AlternateContent>
  <xr:revisionPtr revIDLastSave="0" documentId="13_ncr:1_{1A6F9B2B-8780-40C9-8179-186BC96C0585}"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K42" i="1"/>
  <c r="H42" i="1"/>
  <c r="I42" i="1" s="1"/>
  <c r="F42" i="1"/>
  <c r="G42" i="1" s="1"/>
  <c r="E42" i="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K30" i="1"/>
  <c r="H30" i="1"/>
  <c r="I30" i="1" s="1"/>
  <c r="F30" i="1"/>
  <c r="G30" i="1" s="1"/>
  <c r="E30" i="1"/>
  <c r="C43" i="1" l="1"/>
  <c r="C44" i="1" s="1"/>
  <c r="C54" i="1"/>
  <c r="C55" i="1" s="1"/>
  <c r="E31" i="1"/>
  <c r="G31" i="1"/>
  <c r="I31" i="1"/>
  <c r="K31" i="1"/>
  <c r="D13" i="1"/>
  <c r="E13" i="1" s="1"/>
  <c r="D14" i="1"/>
  <c r="E14" i="1" s="1"/>
  <c r="D15" i="1"/>
  <c r="E15" i="1" s="1"/>
  <c r="D16" i="1"/>
  <c r="E16" i="1" s="1"/>
  <c r="E17" i="1"/>
  <c r="E18" i="1"/>
  <c r="G19" i="1"/>
  <c r="E19" i="1" l="1"/>
  <c r="H19" i="1"/>
  <c r="I19" i="1" s="1"/>
  <c r="K19" i="1"/>
  <c r="F16" i="1"/>
  <c r="G16" i="1" s="1"/>
  <c r="H16" i="1"/>
  <c r="I16" i="1" s="1"/>
  <c r="J16" i="1"/>
  <c r="K16" i="1" s="1"/>
  <c r="C24" i="1"/>
  <c r="J18" i="1"/>
  <c r="K18" i="1" s="1"/>
  <c r="H18" i="1"/>
  <c r="I18" i="1" s="1"/>
  <c r="G18" i="1"/>
  <c r="J17" i="1"/>
  <c r="K17" i="1" s="1"/>
  <c r="I17" i="1"/>
  <c r="F17" i="1"/>
  <c r="G17" i="1" s="1"/>
  <c r="J15" i="1"/>
  <c r="K15" i="1" s="1"/>
  <c r="H15" i="1"/>
  <c r="I15" i="1" s="1"/>
  <c r="F15" i="1"/>
  <c r="G15" i="1" s="1"/>
  <c r="J14" i="1"/>
  <c r="H14" i="1"/>
  <c r="I14" i="1" s="1"/>
  <c r="F14" i="1"/>
  <c r="G14" i="1" s="1"/>
  <c r="J13" i="1"/>
  <c r="K13" i="1" s="1"/>
  <c r="H13" i="1"/>
  <c r="I13" i="1" s="1"/>
  <c r="F13" i="1"/>
  <c r="G13" i="1" s="1"/>
  <c r="D5" i="1" l="1"/>
  <c r="E20" i="1"/>
  <c r="G20" i="1"/>
  <c r="I20" i="1"/>
  <c r="K14" i="1"/>
  <c r="C31" i="1" l="1"/>
  <c r="C32" i="1" s="1"/>
  <c r="K20" i="1"/>
  <c r="C20" i="1" s="1"/>
  <c r="C21" i="1" s="1"/>
  <c r="D4" i="1" l="1"/>
  <c r="C5" i="1"/>
  <c r="E5" i="1" s="1"/>
  <c r="C4" i="1"/>
  <c r="E4" i="1" l="1"/>
</calcChain>
</file>

<file path=xl/sharedStrings.xml><?xml version="1.0" encoding="utf-8"?>
<sst xmlns="http://schemas.openxmlformats.org/spreadsheetml/2006/main" count="148" uniqueCount="80">
  <si>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</si>
  <si>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</si>
  <si>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</si>
  <si>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</si>
  <si>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</si>
  <si>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</si>
  <si>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</si>
  <si>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</si>
  <si>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</si>
  <si>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</si>
  <si>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</si>
  <si>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</si>
  <si>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</si>
  <si>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</si>
  <si>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</si>
  <si>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</si>
  <si>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</si>
  <si>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</si>
  <si>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</si>
  <si>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</si>
  <si>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</si>
  <si>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</si>
  <si>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</si>
  <si>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</si>
  <si>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</si>
  <si>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</si>
  <si>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</si>
  <si>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</si>
  <si>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</si>
  <si>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</si>
  <si>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</si>
  <si>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</si>
  <si>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</si>
  <si>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</si>
  <si>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</si>
  <si>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</si>
  <si>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</si>
  <si>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</si>
  <si>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</si>
  <si>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</si>
  <si>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</si>
  <si>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</si>
  <si>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</si>
  <si>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</si>
  <si>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</si>
  <si>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</si>
  <si>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</si>
  <si>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</si>
  <si>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</si>
  <si>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</si>
  <si>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</si>
  <si>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</si>
  <si>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</si>
  <si>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</si>
  <si>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</si>
  <si>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</si>
  <si>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</si>
  <si>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</si>
  <si>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</si>
  <si>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</si>
  <si>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</si>
  <si>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</si>
  <si>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</si>
  <si>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</si>
  <si>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</si>
  <si>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</si>
  <si>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</si>
  <si>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</si>
  <si>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</si>
  <si>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</si>
  <si>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</si>
  <si>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</si>
  <si>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</si>
  <si>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</si>
  <si>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</si>
  <si>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</si>
  <si>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GARCIA DE LA HUERTA PAREDES LUIS MANUEL</t>
  </si>
  <si>
    <t>MARTINEZ ACOSTA KEILA NATHALY</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</si>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</sst>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G6" sqref="G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73" t="s">
        <v>76</v>
      </c>
      <c r="C4" s="5">
        <f>EVALUACION1!$C$21</f>
        <v>5.5</v>
      </c>
      <c r="D4" s="5">
        <f>$C$32</f>
        <v>4</v>
      </c>
      <c r="E4" s="6">
        <f>C4*C$2+D4*D$2</f>
        <v>5.125</v>
      </c>
      <c r="G4" s="1"/>
    </row>
    <row r="5" spans="1:11" x14ac:dyDescent="0.25">
      <c r="A5" s="4">
        <v>2</v>
      </c>
      <c r="B5" s="73" t="s">
        <v>77</v>
      </c>
      <c r="C5" s="5">
        <f>EVALUACION1!$C$21</f>
        <v>5.5</v>
      </c>
      <c r="D5" s="5">
        <f>C44</f>
        <v>4</v>
      </c>
      <c r="E5" s="6">
        <f t="shared" ref="E5:E6" si="0">C5*C$2+D5*D$2</f>
        <v>5.125</v>
      </c>
      <c r="G5" s="1"/>
    </row>
    <row r="6" spans="1:11" x14ac:dyDescent="0.25">
      <c r="A6" s="4">
        <v>3</v>
      </c>
      <c r="B6" s="27"/>
      <c r="C6" s="5"/>
      <c r="D6" s="5"/>
      <c r="E6" s="6"/>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
        <v>79</v>
      </c>
      <c r="E17" s="16" t="str">
        <f>IF(D17="X",100*0.05,"")</f>
        <v/>
      </c>
      <c r="F17" s="16" t="str">
        <f>IF($C17=L,"X","")</f>
        <v/>
      </c>
      <c r="G17" s="16" t="str">
        <f>IF(F17="X",60*0.05,"")</f>
        <v/>
      </c>
      <c r="H17" s="16" t="s">
        <v>78</v>
      </c>
      <c r="I17" s="16">
        <f>IF(H17="X",30*0.05,"")</f>
        <v>1.5</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
        <v>79</v>
      </c>
      <c r="E18" s="16" t="str">
        <f>IF(D18="X",100*0.15,"")</f>
        <v/>
      </c>
      <c r="F18" s="16" t="s">
        <v>78</v>
      </c>
      <c r="G18" s="16">
        <f>IF(F18="X",60*0.15,"")</f>
        <v>9</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
        <v>79</v>
      </c>
      <c r="E19" s="16" t="str">
        <f>IF(D19="X",100*0.15,"")</f>
        <v/>
      </c>
      <c r="F19" s="16" t="s">
        <v>78</v>
      </c>
      <c r="G19" s="16">
        <f>IF(F19="X",60*0.15,"")</f>
        <v>9</v>
      </c>
      <c r="H19" s="16" t="str">
        <f>IF($C19=ML,"X","")</f>
        <v/>
      </c>
      <c r="I19" s="16" t="str">
        <f>IF(H19="X",30*0.15,"")</f>
        <v/>
      </c>
      <c r="J19" s="16" t="s">
        <v>78</v>
      </c>
      <c r="K19" s="16">
        <f t="shared" si="6"/>
        <v>0</v>
      </c>
    </row>
    <row r="20" spans="1:11" ht="15.75" customHeight="1" outlineLevel="1" x14ac:dyDescent="0.3">
      <c r="A20" s="65"/>
      <c r="B20" s="29" t="s">
        <v>66</v>
      </c>
      <c r="C20" s="33">
        <f>E20+G20+I20+K20</f>
        <v>59.5</v>
      </c>
      <c r="D20" s="19"/>
      <c r="E20" s="19">
        <f>SUM(E13:E19)</f>
        <v>40</v>
      </c>
      <c r="F20" s="19"/>
      <c r="G20" s="19">
        <f>SUM(G13:G19)</f>
        <v>18</v>
      </c>
      <c r="H20" s="19"/>
      <c r="I20" s="19">
        <f>SUM(I13:I19)</f>
        <v>1.5</v>
      </c>
      <c r="J20" s="19"/>
      <c r="K20" s="19">
        <f>SUM(K13:K19)</f>
        <v>0</v>
      </c>
    </row>
    <row r="21" spans="1:11" ht="15.75" customHeight="1" outlineLevel="1" x14ac:dyDescent="0.3">
      <c r="A21" s="54"/>
      <c r="B21" s="32" t="s">
        <v>67</v>
      </c>
      <c r="C21" s="20">
        <f>VLOOKUP(C20,ESCALA_IEP!A1:B152,2,FALSE)</f>
        <v>5.5</v>
      </c>
    </row>
    <row r="22" spans="1:11" ht="15.75" customHeight="1" x14ac:dyDescent="0.25"/>
    <row r="23" spans="1:11" ht="15.75" customHeight="1" x14ac:dyDescent="0.25"/>
    <row r="24" spans="1:11" ht="15.75" customHeight="1" x14ac:dyDescent="0.25">
      <c r="A24" s="64" t="s">
        <v>59</v>
      </c>
      <c r="B24" s="53" t="s">
        <v>68</v>
      </c>
      <c r="C24" s="56" t="str">
        <f>$B$4</f>
        <v>GARCIA DE LA HUERTA PAREDES LUIS MANUEL</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
        <v>79</v>
      </c>
      <c r="E30" s="16" t="str">
        <f>IF(D30="X",100*0.1,"")</f>
        <v/>
      </c>
      <c r="F30" s="16" t="str">
        <f t="shared" si="8"/>
        <v/>
      </c>
      <c r="G30" s="16" t="str">
        <f>IF(F30="X",60*0.1,"")</f>
        <v/>
      </c>
      <c r="H30" s="16" t="str">
        <f t="shared" si="9"/>
        <v/>
      </c>
      <c r="I30" s="16" t="str">
        <f>IF(H30="X",30*0.1,"")</f>
        <v/>
      </c>
      <c r="J30" s="16" t="s">
        <v>78</v>
      </c>
      <c r="K30" s="16">
        <f t="shared" si="11"/>
        <v>0</v>
      </c>
    </row>
    <row r="31" spans="1:11" ht="15.75" customHeight="1" x14ac:dyDescent="0.3">
      <c r="A31" s="65"/>
      <c r="B31" s="21" t="s">
        <v>70</v>
      </c>
      <c r="C31" s="18">
        <f>E31+G31+I31+K31</f>
        <v>15</v>
      </c>
      <c r="D31" s="19"/>
      <c r="E31" s="19">
        <f>SUM(E28:E30)</f>
        <v>15</v>
      </c>
      <c r="F31" s="19"/>
      <c r="G31" s="19">
        <f>SUM(G28:G30)</f>
        <v>0</v>
      </c>
      <c r="H31" s="19"/>
      <c r="I31" s="19">
        <f>SUM(I28:I30)</f>
        <v>0</v>
      </c>
      <c r="J31" s="19"/>
      <c r="K31" s="19">
        <f>SUM(K29:K30)</f>
        <v>0</v>
      </c>
    </row>
    <row r="32" spans="1:11" ht="15.75" customHeight="1" x14ac:dyDescent="0.3">
      <c r="A32" s="54"/>
      <c r="B32" s="17" t="s">
        <v>67</v>
      </c>
      <c r="C32" s="20">
        <f>VLOOKUP(C31,ESCALA_TRAB_EQUIP!A1:B52,2,FALSE)</f>
        <v>4</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MARTINEZ ACOSTA KEILA NATHALY</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
        <v>79</v>
      </c>
      <c r="E42" s="16" t="str">
        <f>IF(D42="X",100*0.1,"")</f>
        <v/>
      </c>
      <c r="F42" s="16" t="str">
        <f t="shared" si="13"/>
        <v/>
      </c>
      <c r="G42" s="16" t="str">
        <f>IF(F42="X",60*0.1,"")</f>
        <v/>
      </c>
      <c r="H42" s="16" t="str">
        <f t="shared" si="14"/>
        <v/>
      </c>
      <c r="I42" s="16" t="str">
        <f>IF(H42="X",30*0.1,"")</f>
        <v/>
      </c>
      <c r="J42" s="16" t="s">
        <v>78</v>
      </c>
      <c r="K42" s="16">
        <f t="shared" si="16"/>
        <v>0</v>
      </c>
    </row>
    <row r="43" spans="1:11" ht="15.75" customHeight="1" x14ac:dyDescent="0.3">
      <c r="A43" s="65"/>
      <c r="B43" s="21" t="s">
        <v>70</v>
      </c>
      <c r="C43" s="18">
        <f>E43+G43+I43+K43</f>
        <v>15</v>
      </c>
      <c r="D43" s="19"/>
      <c r="E43" s="19">
        <f>SUM(E40:E42)</f>
        <v>15</v>
      </c>
      <c r="F43" s="19"/>
      <c r="G43" s="19">
        <f>SUM(G40:G42)</f>
        <v>0</v>
      </c>
      <c r="H43" s="19"/>
      <c r="I43" s="19">
        <f>SUM(I40:I42)</f>
        <v>0</v>
      </c>
      <c r="J43" s="19"/>
      <c r="K43" s="19">
        <f>SUM(K41:K42)</f>
        <v>0</v>
      </c>
    </row>
    <row r="44" spans="1:11" ht="15.75" customHeight="1" x14ac:dyDescent="0.3">
      <c r="A44" s="54"/>
      <c r="B44" s="17" t="s">
        <v>67</v>
      </c>
      <c r="C44" s="20">
        <f>VLOOKUP(C43,ESCALA_TRAB_EQUIP!A1:B52,2,FALSE)</f>
        <v>4</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2025-11-26T00:33:43Z</dcterms:modified>
  <cp:category/>
  <cp:contentStatus/>
</cp:coreProperties>
</file>